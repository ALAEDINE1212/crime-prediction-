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ba63e81f3442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 Comparison" sheetId="1" r:id="Rdabeee04205a4b75"/>
    <x:sheet xmlns:r="http://schemas.openxmlformats.org/officeDocument/2006/relationships" name="CNN WF (11 months)" sheetId="2" r:id="R0da427bd337144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"/>
  </x:numFmts>
  <x:fonts count="4">
    <x:font>
      <x:sz val="11"/>
      <x:color theme="1"/>
      <x:name val="Calibri"/>
      <x:family val="2"/>
      <x:scheme val="minor"/>
    </x:font>
    <x:font>
      <x:b/>
      <x:sz val="16"/>
    </x:font>
    <x:font>
      <x:b/>
    </x:font>
    <x:font>
      <x:b/>
      <x:sz val="11"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C0C0C0"/>
      </x:left>
      <x:right style="thin">
        <x:color rgb="00C0C0C0"/>
      </x:right>
      <x:top style="thin">
        <x:color rgb="00C0C0C0"/>
      </x:top>
      <x:bottom style="thin">
        <x:color rgb="00C0C0C0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Alignment="1">
      <x:alignment horizontal="center" vertical="center"/>
    </x:xf>
    <x:xf numFmtId="0" fontId="2" fillId="0" borderId="0" xfId="0"/>
    <x:xf numFmtId="0" fontId="0" fillId="0" borderId="0" xfId="0" applyAlignment="1">
      <x:alignment vertical="top" wrapText="1"/>
    </x:xf>
    <x:xf numFmtId="0" fontId="3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0" fillId="0" borderId="1" xfId="0" applyAlignment="1">
      <x:alignment horizontal="center" vertical="center" wrapText="1"/>
    </x:xf>
    <x:xf numFmtId="164" fontId="0" fillId="0" borderId="1" xfId="0" applyAlignment="1">
      <x:alignment horizontal="center" vertical="center" wrapText="1"/>
    </x:xf>
    <x:xf numFmtId="0" fontId="1" fillId="0" borderId="0" xfId="0"/>
    <x:xf numFmtId="0" fontId="2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31b82fffdd42c3" /><Relationship Type="http://schemas.openxmlformats.org/officeDocument/2006/relationships/theme" Target="/xl/theme/theme1.xml" Id="R2c3d3623df444b3a" /><Relationship Type="http://schemas.openxmlformats.org/officeDocument/2006/relationships/sharedStrings" Target="/xl/sharedStrings.xml" Id="Raf45ef551ec74e60" /><Relationship Type="http://schemas.openxmlformats.org/officeDocument/2006/relationships/worksheet" Target="/xl/worksheets/sheet1.xml" Id="Rdabeee04205a4b75" /><Relationship Type="http://schemas.openxmlformats.org/officeDocument/2006/relationships/worksheet" Target="/xl/worksheets/sheet2.xml" Id="R0da427bd337144a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customWidth="1"/>
    <x:col min="2" max="2" width="44" customWidth="1"/>
    <x:col min="3" max="3" width="20" customWidth="1"/>
    <x:col min="4" max="4" width="16" customWidth="1"/>
    <x:col min="5" max="5" width="10" customWidth="1"/>
    <x:col min="6" max="6" width="10" customWidth="1"/>
    <x:col min="7" max="7" width="14" customWidth="1"/>
    <x:col min="8" max="8" width="40" customWidth="1"/>
  </x:cols>
  <x:sheetData>
    <x:row r="1" ht="28" customHeight="1">
      <x:c r="A1" s="1" t="inlineStr">
        <x:is>
          <x:t xml:space="preserve">Crime Hotspot Forecasting — Model Comparison (West Yorkshire)</x:t>
        </x:is>
      </x:c>
    </x:row>
    <x:row r="2">
      <x:c r="A2" s="2" t="inlineStr">
        <x:is>
          <x:t xml:space="preserve">Notes:</x:t>
        </x:is>
      </x:c>
      <x:c r="B2" s="3" t="inlineStr">
        <x:is>
          <x:t xml:space="preserve">Lower MAE/RMSE is better; higher Precision@K is better. K refers to top % cells ranked as hotspots.</x:t>
        </x:is>
      </x:c>
    </x:row>
    <x:row r="3">
      <x:c r="A3" s="4" t="inlineStr">
        <x:is>
          <x:t xml:space="preserve">Model</x:t>
        </x:is>
      </x:c>
      <x:c r="B3" s="4" t="inlineStr">
        <x:is>
          <x:t xml:space="preserve">Inputs/Features</x:t>
        </x:is>
      </x:c>
      <x:c r="C3" s="4" t="inlineStr">
        <x:is>
          <x:t xml:space="preserve">Evaluation</x:t>
        </x:is>
      </x:c>
      <x:c r="D3" s="4" t="inlineStr">
        <x:is>
          <x:t xml:space="preserve">Months Evaluated</x:t>
        </x:is>
      </x:c>
      <x:c r="E3" s="4" t="inlineStr">
        <x:is>
          <x:t xml:space="preserve">MAE</x:t>
        </x:is>
      </x:c>
      <x:c r="F3" s="4" t="inlineStr">
        <x:is>
          <x:t xml:space="preserve">RMSE</x:t>
        </x:is>
      </x:c>
      <x:c r="G3" s="4" t="inlineStr">
        <x:is>
          <x:t xml:space="preserve">Precision@K</x:t>
        </x:is>
      </x:c>
      <x:c r="H3" s="4" t="inlineStr">
        <x:is>
          <x:t xml:space="preserve">Notes</x:t>
        </x:is>
      </x:c>
    </x:row>
    <x:row r="4">
      <x:c r="A4" s="5" t="inlineStr">
        <x:is>
          <x:t xml:space="preserve">Baseline (Lag-1)</x:t>
        </x:is>
      </x:c>
      <x:c r="B4" s="5" t="inlineStr">
        <x:is>
          <x:t xml:space="preserve">Naive: predict next month using previous month count</x:t>
        </x:is>
      </x:c>
      <x:c r="C4" s="5" t="inlineStr">
        <x:is>
          <x:t xml:space="preserve">Walk-forward</x:t>
        </x:is>
      </x:c>
      <x:c r="D4" s="6" t="n">
        <x:v>11</x:v>
      </x:c>
      <x:c r="E4" s="7" t="n">
        <x:v>3.7465</x:v>
      </x:c>
      <x:c r="F4" s="7" t="n">
        <x:v>5.8561</x:v>
      </x:c>
      <x:c r="G4" s="7" t="n">
        <x:v>0.6627</x:v>
      </x:c>
      <x:c r="H4" s="5" t="inlineStr">
        <x:is>
          <x:t xml:space="preserve">K=5% hotspots; persistence baseline</x:t>
        </x:is>
      </x:c>
    </x:row>
    <x:row r="5">
      <x:c r="A5" s="5" t="inlineStr">
        <x:is>
          <x:t xml:space="preserve">Ridge (best)</x:t>
        </x:is>
      </x:c>
      <x:c r="B5" s="5" t="inlineStr">
        <x:is>
          <x:t xml:space="preserve">Cell×month engineered features (lags + rolling stats)</x:t>
        </x:is>
      </x:c>
      <x:c r="C5" s="5" t="inlineStr">
        <x:is>
          <x:t xml:space="preserve">Walk-forward</x:t>
        </x:is>
      </x:c>
      <x:c r="D5" s="6" t="n">
        <x:v>11</x:v>
      </x:c>
      <x:c r="E5" s="7" t="n">
        <x:v>2.9435</x:v>
      </x:c>
      <x:c r="F5" s="7" t="n">
        <x:v>4.5309</x:v>
      </x:c>
      <x:c r="G5" s="7" t="n">
        <x:v>0.7344000000000001</x:v>
      </x:c>
      <x:c r="H5" s="5" t="inlineStr">
        <x:is>
          <x:t xml:space="preserve">Best hotspot ranking in experiments</x:t>
        </x:is>
      </x:c>
    </x:row>
    <x:row r="6">
      <x:c r="A6" s="5" t="inlineStr">
        <x:is>
          <x:t xml:space="preserve">Ridge + neighbour features</x:t>
        </x:is>
      </x:c>
      <x:c r="B6" s="5" t="inlineStr">
        <x:is>
          <x:t xml:space="preserve">Ridge + neighbour aggregates (nbr_* features)</x:t>
        </x:is>
      </x:c>
      <x:c r="C6" s="5" t="inlineStr">
        <x:is>
          <x:t xml:space="preserve">Walk-forward</x:t>
        </x:is>
      </x:c>
      <x:c r="D6" s="6" t="n">
        <x:v>11</x:v>
      </x:c>
      <x:c r="E6" s="7" t="n">
        <x:v>2.97</x:v>
      </x:c>
      <x:c r="F6" s="7" t="n">
        <x:v>4.55</x:v>
      </x:c>
      <x:c r="G6" s="7" t="n">
        <x:v>0.731</x:v>
      </x:c>
      <x:c r="H6" s="5" t="inlineStr">
        <x:is>
          <x:t xml:space="preserve">Approximate (reported as slightly worse than Ridge)</x:t>
        </x:is>
      </x:c>
    </x:row>
    <x:row r="7">
      <x:c r="A7" s="5" t="inlineStr">
        <x:is>
          <x:t xml:space="preserve">CNN+GRU (original)</x:t>
        </x:is>
      </x:c>
      <x:c r="B7" s="5" t="inlineStr">
        <x:is>
          <x:t xml:space="preserve">Grid tensors (count + broadcast socio); CNN encoder + GRU</x:t>
        </x:is>
      </x:c>
      <x:c r="C7" s="5" t="inlineStr">
        <x:is>
          <x:t xml:space="preserve">Test window (last months)</x:t>
        </x:is>
      </x:c>
      <x:c r="D7" s="6" t="n">
        <x:v>4</x:v>
      </x:c>
      <x:c r="E7" s="7" t="n">
        <x:v>3.516</x:v>
      </x:c>
      <x:c r="F7" s="7" t="n">
        <x:v>10.845</x:v>
      </x:c>
      <x:c r="G7" s="7" t="n">
        <x:v>0.341</x:v>
      </x:c>
      <x:c r="H7" s="5" t="inlineStr">
        <x:is>
          <x:t xml:space="preserve">Underperformed heavily vs Ridge</x:t>
        </x:is>
      </x:c>
    </x:row>
    <x:row r="8">
      <x:c r="A8" s="5" t="inlineStr">
        <x:is>
          <x:t xml:space="preserve">CNN+GRU (fixed, no leakage)</x:t>
        </x:is>
      </x:c>
      <x:c r="B8" s="5" t="inlineStr">
        <x:is>
          <x:t xml:space="preserve">Grid tensors with count + lags + rolling + nbr; target=log1p(count)</x:t>
        </x:is>
      </x:c>
      <x:c r="C8" s="5" t="inlineStr">
        <x:is>
          <x:t xml:space="preserve">Walk-forward (expanding)</x:t>
        </x:is>
      </x:c>
      <x:c r="D8" s="6" t="n">
        <x:v>11</x:v>
      </x:c>
      <x:c r="E8" s="7" t="n">
        <x:v>2.053205</x:v>
      </x:c>
      <x:c r="F8" s="7" t="n">
        <x:v>4.766248</x:v>
      </x:c>
      <x:c r="G8" s="7" t="n">
        <x:v>0.7073469999999999</x:v>
      </x:c>
      <x:c r="H8" s="5" t="inlineStr">
        <x:is>
          <x:t xml:space="preserve">Valid evaluation (leakage removed); still below Ridge on P@K</x:t>
        </x:is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customWidth="1"/>
    <x:col min="2" max="2" width="10" customWidth="1"/>
    <x:col min="3" max="3" width="10" customWidth="1"/>
    <x:col min="4" max="4" width="14" customWidth="1"/>
    <x:col min="5" max="5" width="38" customWidth="1"/>
  </x:cols>
  <x:sheetData>
    <x:row r="1" ht="24" customHeight="1">
      <x:c r="A1" s="8" t="inlineStr">
        <x:is>
          <x:t xml:space="preserve">CNN+GRU (fixed, no leakage) — Walk-forward monthly results</x:t>
        </x:is>
      </x:c>
    </x:row>
    <x:row r="3">
      <x:c r="A3" s="4" t="inlineStr">
        <x:is>
          <x:t xml:space="preserve">Forecast Month</x:t>
        </x:is>
      </x:c>
      <x:c r="B3" s="4" t="inlineStr">
        <x:is>
          <x:t xml:space="preserve">MAE</x:t>
        </x:is>
      </x:c>
      <x:c r="C3" s="4" t="inlineStr">
        <x:is>
          <x:t xml:space="preserve">RMSE</x:t>
        </x:is>
      </x:c>
      <x:c r="D3" s="4" t="inlineStr">
        <x:is>
          <x:t xml:space="preserve">Precision@K</x:t>
        </x:is>
      </x:c>
      <x:c r="E3" s="4" t="inlineStr">
        <x:is>
          <x:t xml:space="preserve">Notes</x:t>
        </x:is>
      </x:c>
    </x:row>
    <x:row r="4">
      <x:c r="A4" s="6" t="inlineStr">
        <x:is>
          <x:t xml:space="preserve">2024-12</x:t>
        </x:is>
      </x:c>
      <x:c r="B4" s="7" t="n">
        <x:v>2.144156</x:v>
      </x:c>
      <x:c r="C4" s="7" t="n">
        <x:v>8.872367000000001</x:v>
      </x:c>
      <x:c r="D4" s="7" t="n">
        <x:v>0.707763</x:v>
      </x:c>
      <x:c r="E4" s="5" t="inlineStr">
        <x:is>
          <x:t xml:space="preserve">K=5%, lookback=6, channels=12</x:t>
        </x:is>
      </x:c>
    </x:row>
    <x:row r="5">
      <x:c r="A5" s="6" t="inlineStr">
        <x:is>
          <x:t xml:space="preserve">2025-01</x:t>
        </x:is>
      </x:c>
      <x:c r="B5" s="7" t="n">
        <x:v>1.95675</x:v>
      </x:c>
      <x:c r="C5" s="7" t="n">
        <x:v>4.241625</x:v>
      </x:c>
      <x:c r="D5" s="7" t="n">
        <x:v>0.707763</x:v>
      </x:c>
      <x:c r="E5" s="5" t="inlineStr">
        <x:is>
          <x:t xml:space="preserve">K=5%, lookback=6, channels=12</x:t>
        </x:is>
      </x:c>
    </x:row>
    <x:row r="6">
      <x:c r="A6" s="6" t="inlineStr">
        <x:is>
          <x:t xml:space="preserve">2025-02</x:t>
        </x:is>
      </x:c>
      <x:c r="B6" s="7" t="n">
        <x:v>1.766214</x:v>
      </x:c>
      <x:c r="C6" s="7" t="n">
        <x:v>3.450513</x:v>
      </x:c>
      <x:c r="D6" s="7" t="n">
        <x:v>0.703196</x:v>
      </x:c>
      <x:c r="E6" s="5" t="inlineStr">
        <x:is>
          <x:t xml:space="preserve">K=5%, lookback=6, channels=12</x:t>
        </x:is>
      </x:c>
    </x:row>
    <x:row r="7">
      <x:c r="A7" s="6" t="inlineStr">
        <x:is>
          <x:t xml:space="preserve">2025-03</x:t>
        </x:is>
      </x:c>
      <x:c r="B7" s="7" t="n">
        <x:v>2.248927</x:v>
      </x:c>
      <x:c r="C7" s="7" t="n">
        <x:v>5.570524</x:v>
      </x:c>
      <x:c r="D7" s="7" t="n">
        <x:v>0.680365</x:v>
      </x:c>
      <x:c r="E7" s="5" t="inlineStr">
        <x:is>
          <x:t xml:space="preserve">K=5%, lookback=6, channels=12</x:t>
        </x:is>
      </x:c>
    </x:row>
    <x:row r="8">
      <x:c r="A8" s="6" t="inlineStr">
        <x:is>
          <x:t xml:space="preserve">2025-04</x:t>
        </x:is>
      </x:c>
      <x:c r="B8" s="7" t="n">
        <x:v>2.014111</x:v>
      </x:c>
      <x:c r="C8" s="7" t="n">
        <x:v>4.00713</x:v>
      </x:c>
      <x:c r="D8" s="7" t="n">
        <x:v>0.69863</x:v>
      </x:c>
      <x:c r="E8" s="5" t="inlineStr">
        <x:is>
          <x:t xml:space="preserve">K=5%, lookback=6, channels=12</x:t>
        </x:is>
      </x:c>
    </x:row>
    <x:row r="9">
      <x:c r="A9" s="6" t="inlineStr">
        <x:is>
          <x:t xml:space="preserve">2025-05</x:t>
        </x:is>
      </x:c>
      <x:c r="B9" s="7" t="n">
        <x:v>2.084293</x:v>
      </x:c>
      <x:c r="C9" s="7" t="n">
        <x:v>3.988756</x:v>
      </x:c>
      <x:c r="D9" s="7" t="n">
        <x:v>0.739726</x:v>
      </x:c>
      <x:c r="E9" s="5" t="inlineStr">
        <x:is>
          <x:t xml:space="preserve">K=5%, lookback=6, channels=12</x:t>
        </x:is>
      </x:c>
    </x:row>
    <x:row r="10">
      <x:c r="A10" s="6" t="inlineStr">
        <x:is>
          <x:t xml:space="preserve">2025-06</x:t>
        </x:is>
      </x:c>
      <x:c r="B10" s="7" t="n">
        <x:v>2.086492</x:v>
      </x:c>
      <x:c r="C10" s="7" t="n">
        <x:v>4.07148</x:v>
      </x:c>
      <x:c r="D10" s="7" t="n">
        <x:v>0.6894980000000001</x:v>
      </x:c>
      <x:c r="E10" s="5" t="inlineStr">
        <x:is>
          <x:t xml:space="preserve">K=5%, lookback=6, channels=12</x:t>
        </x:is>
      </x:c>
    </x:row>
    <x:row r="11">
      <x:c r="A11" s="6" t="inlineStr">
        <x:is>
          <x:t xml:space="preserve">2025-07</x:t>
        </x:is>
      </x:c>
      <x:c r="B11" s="7" t="n">
        <x:v>2.169908</x:v>
      </x:c>
      <x:c r="C11" s="7" t="n">
        <x:v>4.695146</x:v>
      </x:c>
      <x:c r="D11" s="7" t="n">
        <x:v>0.694064</x:v>
      </x:c>
      <x:c r="E11" s="5" t="inlineStr">
        <x:is>
          <x:t xml:space="preserve">K=5%, lookback=6, channels=12</x:t>
        </x:is>
      </x:c>
    </x:row>
    <x:row r="12">
      <x:c r="A12" s="6" t="inlineStr">
        <x:is>
          <x:t xml:space="preserve">2025-08</x:t>
        </x:is>
      </x:c>
      <x:c r="B12" s="7" t="n">
        <x:v>2.088926</x:v>
      </x:c>
      <x:c r="C12" s="7" t="n">
        <x:v>4.288051</x:v>
      </x:c>
      <x:c r="D12" s="7" t="n">
        <x:v>0.712329</x:v>
      </x:c>
      <x:c r="E12" s="5" t="inlineStr">
        <x:is>
          <x:t xml:space="preserve">K=5%, lookback=6, channels=12</x:t>
        </x:is>
      </x:c>
    </x:row>
    <x:row r="13">
      <x:c r="A13" s="6" t="inlineStr">
        <x:is>
          <x:t xml:space="preserve">2025-09</x:t>
        </x:is>
      </x:c>
      <x:c r="B13" s="7" t="n">
        <x:v>2.078768</x:v>
      </x:c>
      <x:c r="C13" s="7" t="n">
        <x:v>4.851959</x:v>
      </x:c>
      <x:c r="D13" s="7" t="n">
        <x:v>0.721461</x:v>
      </x:c>
      <x:c r="E13" s="5" t="inlineStr">
        <x:is>
          <x:t xml:space="preserve">K=5%, lookback=6, channels=12</x:t>
        </x:is>
      </x:c>
    </x:row>
    <x:row r="14">
      <x:c r="A14" s="6" t="inlineStr">
        <x:is>
          <x:t xml:space="preserve">2025-10</x:t>
        </x:is>
      </x:c>
      <x:c r="B14" s="7" t="n">
        <x:v>1.946708</x:v>
      </x:c>
      <x:c r="C14" s="7" t="n">
        <x:v>4.391178</x:v>
      </x:c>
      <x:c r="D14" s="7" t="n">
        <x:v>0.726027</x:v>
      </x:c>
      <x:c r="E14" s="5" t="inlineStr">
        <x:is>
          <x:t xml:space="preserve">K=5%, lookback=6, channels=12</x:t>
        </x:is>
      </x:c>
    </x:row>
    <x:row r="16">
      <x:c r="A16" s="9" t="inlineStr">
        <x:is>
          <x:t xml:space="preserve">AVERAGE</x:t>
        </x:is>
      </x:c>
      <x:c r="B16" s="7">
        <x:f>AVERAGE(B4:B14)</x:f>
        <x:v>2.0532048181818183</x:v>
      </x:c>
      <x:c r="C16" s="7">
        <x:f>AVERAGE(C4:C14)</x:f>
        <x:v>4.766248090909091</x:v>
      </x:c>
      <x:c r="D16" s="7">
        <x:f>AVERAGE(D4:D14)</x:f>
        <x:v>0.7073474545454546</x:v>
      </x:c>
      <x:c r="E16" s="5" t="inlineStr">
        <x:is>
          <x:t xml:space="preserve">Averages across the 11 forecast months</x:t>
        </x:is>
      </x:c>
    </x:row>
  </x:sheetData>
  <x:mergeCells>
    <x:mergeCell ref="A1:E1"/>
  </x:mergeCells>
  <x:pageMargins left="0.7" right="0.7" top="0.75" bottom="0.75" header="0.3" footer="0.3"/>
</x:worksheet>
</file>